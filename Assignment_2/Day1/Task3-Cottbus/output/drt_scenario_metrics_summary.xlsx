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a907d2f21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25384d270f430b"/>
    <x:sheet xmlns:r="http://schemas.openxmlformats.org/officeDocument/2006/relationships" name="Weights" sheetId="2" r:id="Rf6432042ffe64c6d"/>
    <x:sheet xmlns:r="http://schemas.openxmlformats.org/officeDocument/2006/relationships" name="RawMetrics" sheetId="3" r:id="Radc49033f7c0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32c1c98a841a4" /><Relationship Type="http://schemas.openxmlformats.org/officeDocument/2006/relationships/theme" Target="/xl/theme/theme1.xml" Id="R2c8345183640447c" /><Relationship Type="http://schemas.openxmlformats.org/officeDocument/2006/relationships/sharedStrings" Target="/xl/sharedStrings.xml" Id="R0f555d53bc8f4030" /><Relationship Type="http://schemas.openxmlformats.org/officeDocument/2006/relationships/worksheet" Target="/xl/worksheets/sheet1.xml" Id="Rb125384d270f430b" /><Relationship Type="http://schemas.openxmlformats.org/officeDocument/2006/relationships/worksheet" Target="/xl/worksheets/sheet2.xml" Id="Rf6432042ffe64c6d" /><Relationship Type="http://schemas.openxmlformats.org/officeDocument/2006/relationships/worksheet" Target="/xl/worksheets/sheet3.xml" Id="Radc49033f7c0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3" hidden="0" customWidth="1"/>
    <x:col min="3" max="3" width="7" hidden="0" customWidth="1"/>
    <x:col min="4" max="4" width="12.75" hidden="0" customWidth="1"/>
    <x:col min="5" max="5" width="9.5" hidden="0" customWidth="1"/>
    <x:col min="6" max="6" width="8.630000114440918" hidden="0" customWidth="1"/>
    <x:col min="7" max="7" width="11.630000114440918" hidden="0" customWidth="1"/>
    <x:col min="8" max="8" width="11.630000114440918" hidden="0" customWidth="1"/>
    <x:col min="9" max="9" width="17.3799991607666" hidden="0" customWidth="1"/>
    <x:col min="10" max="10" width="8.380000114440918" hidden="0" customWidth="1"/>
    <x:col min="11" max="11" width="11.130000114440918" hidden="0" customWidth="1"/>
    <x:col min="12" max="12" width="16.8799991607666" hidden="0" customWidth="1"/>
    <x:col min="13" max="13" width="6.75" hidden="0" customWidth="1"/>
    <x:col min="14" max="14" width="11.5" hidden="0" customWidth="1"/>
    <x:col min="15" max="15" width="11.75" hidden="0" customWidth="1"/>
    <x:col min="16" max="16" width="13.5" hidden="0" customWidth="1"/>
    <x:col min="17" max="17" width="12.630000114440918" hidden="0" customWidth="1"/>
    <x:col min="18" max="18" width="8" hidden="0" customWidth="1"/>
    <x:col min="19" max="19" width="15" hidden="0" customWidth="1"/>
    <x:col min="20" max="20" width="13.130000114440918" hidden="0" customWidth="1"/>
    <x:col min="21" max="21" width="17.6299991607666" hidden="0" customWidth="1"/>
  </x:cols>
  <x:sheetData>
    <x:row r="1">
      <x:c r="A1" s="3" t="str">
        <x:v>Rank</x:v>
      </x:c>
      <x:c r="B1" s="3" t="str">
        <x:v>Set</x:v>
      </x:c>
      <x:c r="C1" s="3" t="str">
        <x:v>fleetSize</x:v>
      </x:c>
      <x:c r="D1" s="3" t="str">
        <x:v>maxWaitTime_s</x:v>
      </x:c>
      <x:c r="E1" s="3" t="str">
        <x:v>targetAlpha</x:v>
      </x:c>
      <x:c r="F1" s="3" t="str">
        <x:v>targetBeta</x:v>
      </x:c>
      <x:c r="G1" s="3" t="str">
        <x:v>Avg wait (min)</x:v>
      </x:c>
      <x:c r="H1" s="3" t="str">
        <x:v>P95 wait (min)</x:v>
      </x:c>
      <x:c r="I1" s="3" t="str">
        <x:v>Total travel time (min)</x:v>
      </x:c>
      <x:c r="J1" s="3" t="str">
        <x:v>Rejections</x:v>
      </x:c>
      <x:c r="K1" s="3" t="str">
        <x:v>Rejection rate</x:v>
      </x:c>
      <x:c r="L1" s="3" t="str">
        <x:v>minShareIdleVehicles</x:v>
      </x:c>
      <x:c r="M1" s="3" t="str">
        <x:v>d_p/d_t</x:v>
      </x:c>
      <x:c r="N1" s="3" t="str">
        <x:v>Score avg wait</x:v>
      </x:c>
      <x:c r="O1" s="3" t="str">
        <x:v>Score P95 wait</x:v>
      </x:c>
      <x:c r="P1" s="3" t="str">
        <x:v>Score total travel</x:v>
      </x:c>
      <x:c r="Q1" s="3" t="str">
        <x:v>Score rejections</x:v>
      </x:c>
      <x:c r="R1" s="3" t="str">
        <x:v>Score idle</x:v>
      </x:c>
      <x:c r="S1" s="3" t="str">
        <x:v>Score environment</x:v>
      </x:c>
      <x:c r="T1" s="3" t="str">
        <x:v>Composite score</x:v>
      </x:c>
      <x:c r="U1" s="3" t="str">
        <x:v>Decision note</x:v>
      </x:c>
    </x:row>
    <x:row r="2">
      <x:c r="A2" s="4" t="n">
        <x:f>RANK.EQ(T2,$T$2:$T$8,0)</x:f>
        <x:v>4</x:v>
      </x:c>
      <x:c r="B2" s="4" t="str">
        <x:v>S0</x:v>
      </x:c>
      <x:c r="C2" s="4" t="n">
        <x:v>300</x:v>
      </x:c>
      <x:c r="D2" s="4" t="n">
        <x:v>1200</x:v>
      </x:c>
      <x:c r="E2" s="4" t="n">
        <x:v>0.5</x:v>
      </x:c>
      <x:c r="F2" s="4" t="n">
        <x:v>0.5</x:v>
      </x:c>
      <x:c r="G2" s="5" t="n">
        <x:v>8.68</x:v>
      </x:c>
      <x:c r="H2" s="5" t="n">
        <x:v>18.67</x:v>
      </x:c>
      <x:c r="I2" s="5" t="n">
        <x:v>22.9</x:v>
      </x:c>
      <x:c r="J2" s="4" t="n">
        <x:v>0</x:v>
      </x:c>
      <x:c r="K2" s="14" t="n">
        <x:v>0</x:v>
      </x:c>
      <x:c r="L2" s="5" t="n">
        <x:v>0.43</x:v>
      </x:c>
      <x:c r="M2" s="5" t="n">
        <x:v>2.23</x:v>
      </x:c>
      <x:c r="N2" s="5" t="n">
        <x:f>IF(MAX($G$2:$G$8)=MIN($G$2:$G$8),1,(MAX($G$2:$G$8)-G2)/(MAX($G$2:$G$8)-MIN($G$2:$G$8)))</x:f>
        <x:v>0.2951807228915664</x:v>
      </x:c>
      <x:c r="O2" s="5" t="n">
        <x:f>IF(MAX($H$2:$H$8)=MIN($H$2:$H$8),1,(MAX($H$2:$H$8)-H2)/(MAX($H$2:$H$8)-MIN($H$2:$H$8)))</x:f>
        <x:v>0.03496503496503463</x:v>
      </x:c>
      <x:c r="P2" s="5" t="n">
        <x:f>IF(MAX($I$2:$I$8)=MIN($I$2:$I$8),1,(MAX($I$2:$I$8)-I2)/(MAX($I$2:$I$8)-MIN($I$2:$I$8)))</x:f>
        <x:v>0.40776699029126334</x:v>
      </x:c>
      <x:c r="Q2" s="5" t="n">
        <x:f>IF(MAX($J$2:$J$8)=MIN($J$2:$J$8),1,(MAX($J$2:$J$8)-J2)/(MAX($J$2:$J$8)-MIN($J$2:$J$8)))</x:f>
        <x:v>1</x:v>
      </x:c>
      <x:c r="R2" s="5" t="n">
        <x:f>IF(MAX($L$2:$L$8)=MIN($L$2:$L$8),1,(MAX($L$2:$L$8)-L2)/(MAX($L$2:$L$8)-MIN($L$2:$L$8)))</x:f>
        <x:v>0.29787234042553185</x:v>
      </x:c>
      <x:c r="S2" s="5" t="n">
        <x:f>IF(MAX($M$2:$M$8)=MIN($M$2:$M$8),1,(M2-MIN($M$2:$M$8))/(MAX($M$2:$M$8)-MIN($M$2:$M$8)))</x:f>
        <x:v>0.3809523809523814</x:v>
      </x:c>
      <x:c r="T2" s="5" t="n">
        <x:f>0.25*N2+0.20*O2+0.20*P2+0.20*Q2+0.10*R2+0.05*S2</x:f>
        <x:v>0.4111764388643235</x:v>
      </x:c>
      <x:c r="U2" s="4" t="str">
        <x:f>IF(A2=1,"Best by weighted score",IF(J2&gt;0,"Has rejected requests",IF(L2&gt;0.5,"High idle share","Candidate")))</x:f>
        <x:v>Candidate</x:v>
      </x:c>
    </x:row>
    <x:row r="3">
      <x:c r="A3" s="4" t="n">
        <x:f>RANK.EQ(T3,$T$2:$T$8,0)</x:f>
        <x:v>7</x:v>
      </x:c>
      <x:c r="B3" s="4" t="str">
        <x:v>S1</x:v>
      </x:c>
      <x:c r="C3" s="4" t="n">
        <x:v>200</x:v>
      </x:c>
      <x:c r="D3" s="4" t="n">
        <x:v>1200</x:v>
      </x:c>
      <x:c r="E3" s="4" t="n">
        <x:v>0.5</x:v>
      </x:c>
      <x:c r="F3" s="4" t="n">
        <x:v>0.5</x:v>
      </x:c>
      <x:c r="G3" s="5" t="n">
        <x:v>9.17</x:v>
      </x:c>
      <x:c r="H3" s="5" t="n">
        <x:v>18.82</x:v>
      </x:c>
      <x:c r="I3" s="5" t="n">
        <x:v>23.32</x:v>
      </x:c>
      <x:c r="J3" s="4" t="n">
        <x:v>0</x:v>
      </x:c>
      <x:c r="K3" s="14" t="n">
        <x:v>0</x:v>
      </x:c>
      <x:c r="L3" s="5" t="n">
        <x:v>0.1</x:v>
      </x:c>
      <x:c r="M3" s="5" t="n">
        <x:v>2.15</x:v>
      </x:c>
      <x:c r="N3" s="5" t="n">
        <x:f>IF(MAX($G$2:$G$8)=MIN($G$2:$G$8),1,(MAX($G$2:$G$8)-G3)/(MAX($G$2:$G$8)-MIN($G$2:$G$8)))</x:f>
        <x:v>0</x:v>
      </x:c>
      <x:c r="O3" s="5" t="n">
        <x:f>IF(MAX($H$2:$H$8)=MIN($H$2:$H$8),1,(MAX($H$2:$H$8)-H3)/(MAX($H$2:$H$8)-MIN($H$2:$H$8)))</x:f>
        <x:v>0</x:v>
      </x:c>
      <x:c r="P3" s="5" t="n">
        <x:f>IF(MAX($I$2:$I$8)=MIN($I$2:$I$8),1,(MAX($I$2:$I$8)-I3)/(MAX($I$2:$I$8)-MIN($I$2:$I$8)))</x:f>
        <x:v>0</x:v>
      </x:c>
      <x:c r="Q3" s="5" t="n">
        <x:f>IF(MAX($J$2:$J$8)=MIN($J$2:$J$8),1,(MAX($J$2:$J$8)-J3)/(MAX($J$2:$J$8)-MIN($J$2:$J$8)))</x:f>
        <x:v>1</x:v>
      </x:c>
      <x:c r="R3" s="5" t="n">
        <x:f>IF(MAX($L$2:$L$8)=MIN($L$2:$L$8),1,(MAX($L$2:$L$8)-L3)/(MAX($L$2:$L$8)-MIN($L$2:$L$8)))</x:f>
        <x:v>1</x:v>
      </x:c>
      <x:c r="S3" s="5" t="n">
        <x:f>IF(MAX($M$2:$M$8)=MIN($M$2:$M$8),1,(M3-MIN($M$2:$M$8))/(MAX($M$2:$M$8)-MIN($M$2:$M$8)))</x:f>
        <x:v>0</x:v>
      </x:c>
      <x:c r="T3" s="5" t="n">
        <x:f>0.25*N3+0.20*O3+0.20*P3+0.20*Q3+0.10*R3+0.05*S3</x:f>
        <x:v>0.30000000000000004</x:v>
      </x:c>
      <x:c r="U3" s="4" t="str">
        <x:f>IF(A3=1,"Best by weighted score",IF(J3&gt;0,"Has rejected requests",IF(L3&gt;0.5,"High idle share","Candidate")))</x:f>
        <x:v>Candidate</x:v>
      </x:c>
    </x:row>
    <x:row r="4">
      <x:c r="A4" s="4" t="n">
        <x:f>RANK.EQ(T4,$T$2:$T$8,0)</x:f>
        <x:v>6</x:v>
      </x:c>
      <x:c r="B4" s="4" t="str">
        <x:v>S2</x:v>
      </x:c>
      <x:c r="C4" s="4" t="n">
        <x:v>250</x:v>
      </x:c>
      <x:c r="D4" s="4" t="n">
        <x:v>1200</x:v>
      </x:c>
      <x:c r="E4" s="4" t="n">
        <x:v>0.5</x:v>
      </x:c>
      <x:c r="F4" s="4" t="n">
        <x:v>0.5</x:v>
      </x:c>
      <x:c r="G4" s="5" t="n">
        <x:v>8.95</x:v>
      </x:c>
      <x:c r="H4" s="5" t="n">
        <x:v>18.78</x:v>
      </x:c>
      <x:c r="I4" s="5" t="n">
        <x:v>23.13</x:v>
      </x:c>
      <x:c r="J4" s="4" t="n">
        <x:v>0</x:v>
      </x:c>
      <x:c r="K4" s="14" t="n">
        <x:v>0</x:v>
      </x:c>
      <x:c r="L4" s="5" t="n">
        <x:v>0.29</x:v>
      </x:c>
      <x:c r="M4" s="5" t="n">
        <x:v>2.19</x:v>
      </x:c>
      <x:c r="N4" s="5" t="n">
        <x:f>IF(MAX($G$2:$G$8)=MIN($G$2:$G$8),1,(MAX($G$2:$G$8)-G4)/(MAX($G$2:$G$8)-MIN($G$2:$G$8)))</x:f>
        <x:v>0.13253012048192808</x:v>
      </x:c>
      <x:c r="O4" s="5" t="n">
        <x:f>IF(MAX($H$2:$H$8)=MIN($H$2:$H$8),1,(MAX($H$2:$H$8)-H4)/(MAX($H$2:$H$8)-MIN($H$2:$H$8)))</x:f>
        <x:v>0.009324009324009123</x:v>
      </x:c>
      <x:c r="P4" s="5" t="n">
        <x:f>IF(MAX($I$2:$I$8)=MIN($I$2:$I$8),1,(MAX($I$2:$I$8)-I4)/(MAX($I$2:$I$8)-MIN($I$2:$I$8)))</x:f>
        <x:v>0.18446601941747676</x:v>
      </x:c>
      <x:c r="Q4" s="5" t="n">
        <x:f>IF(MAX($J$2:$J$8)=MIN($J$2:$J$8),1,(MAX($J$2:$J$8)-J4)/(MAX($J$2:$J$8)-MIN($J$2:$J$8)))</x:f>
        <x:v>1</x:v>
      </x:c>
      <x:c r="R4" s="5" t="n">
        <x:f>IF(MAX($L$2:$L$8)=MIN($L$2:$L$8),1,(MAX($L$2:$L$8)-L4)/(MAX($L$2:$L$8)-MIN($L$2:$L$8)))</x:f>
        <x:v>0.5957446808510638</x:v>
      </x:c>
      <x:c r="S4" s="5" t="n">
        <x:f>IF(MAX($M$2:$M$8)=MIN($M$2:$M$8),1,(M4-MIN($M$2:$M$8))/(MAX($M$2:$M$8)-MIN($M$2:$M$8)))</x:f>
        <x:v>0.1904761904761907</x:v>
      </x:c>
      <x:c r="T4" s="5" t="n">
        <x:f>0.25*N4+0.20*O4+0.20*P4+0.20*Q4+0.10*R4+0.05*S4</x:f>
        <x:v>0.3409888134776951</x:v>
      </x:c>
      <x:c r="U4" s="4" t="str">
        <x:f>IF(A4=1,"Best by weighted score",IF(J4&gt;0,"Has rejected requests",IF(L4&gt;0.5,"High idle share","Candidate")))</x:f>
        <x:v>Candidate</x:v>
      </x:c>
    </x:row>
    <x:row r="5">
      <x:c r="A5" s="4" t="n">
        <x:f>RANK.EQ(T5,$T$2:$T$8,0)</x:f>
        <x:v>3</x:v>
      </x:c>
      <x:c r="B5" s="4" t="str">
        <x:v>S3</x:v>
      </x:c>
      <x:c r="C5" s="4" t="n">
        <x:v>350</x:v>
      </x:c>
      <x:c r="D5" s="4" t="n">
        <x:v>1200</x:v>
      </x:c>
      <x:c r="E5" s="4" t="n">
        <x:v>0.5</x:v>
      </x:c>
      <x:c r="F5" s="4" t="n">
        <x:v>0.5</x:v>
      </x:c>
      <x:c r="G5" s="5" t="n">
        <x:v>8.15</x:v>
      </x:c>
      <x:c r="H5" s="5" t="n">
        <x:v>18.48</x:v>
      </x:c>
      <x:c r="I5" s="5" t="n">
        <x:v>22.46</x:v>
      </x:c>
      <x:c r="J5" s="4" t="n">
        <x:v>0</x:v>
      </x:c>
      <x:c r="K5" s="14" t="n">
        <x:v>0</x:v>
      </x:c>
      <x:c r="L5" s="5" t="n">
        <x:v>0.52</x:v>
      </x:c>
      <x:c r="M5" s="5" t="n">
        <x:v>2.31</x:v>
      </x:c>
      <x:c r="N5" s="5" t="n">
        <x:f>IF(MAX($G$2:$G$8)=MIN($G$2:$G$8),1,(MAX($G$2:$G$8)-G5)/(MAX($G$2:$G$8)-MIN($G$2:$G$8)))</x:f>
        <x:v>0.6144578313253009</x:v>
      </x:c>
      <x:c r="O5" s="5" t="n">
        <x:f>IF(MAX($H$2:$H$8)=MIN($H$2:$H$8),1,(MAX($H$2:$H$8)-H5)/(MAX($H$2:$H$8)-MIN($H$2:$H$8)))</x:f>
        <x:v>0.07925407925407921</x:v>
      </x:c>
      <x:c r="P5" s="5" t="n">
        <x:f>IF(MAX($I$2:$I$8)=MIN($I$2:$I$8),1,(MAX($I$2:$I$8)-I5)/(MAX($I$2:$I$8)-MIN($I$2:$I$8)))</x:f>
        <x:v>0.8349514563106781</x:v>
      </x:c>
      <x:c r="Q5" s="5" t="n">
        <x:f>IF(MAX($J$2:$J$8)=MIN($J$2:$J$8),1,(MAX($J$2:$J$8)-J5)/(MAX($J$2:$J$8)-MIN($J$2:$J$8)))</x:f>
        <x:v>1</x:v>
      </x:c>
      <x:c r="R5" s="5" t="n">
        <x:f>IF(MAX($L$2:$L$8)=MIN($L$2:$L$8),1,(MAX($L$2:$L$8)-L5)/(MAX($L$2:$L$8)-MIN($L$2:$L$8)))</x:f>
        <x:v>0.10638297872340412</x:v>
      </x:c>
      <x:c r="S5" s="5" t="n">
        <x:f>IF(MAX($M$2:$M$8)=MIN($M$2:$M$8),1,(M5-MIN($M$2:$M$8))/(MAX($M$2:$M$8)-MIN($M$2:$M$8)))</x:f>
        <x:v>0.7619047619047628</x:v>
      </x:c>
      <x:c r="T5" s="5" t="n">
        <x:f>0.25*N5+0.20*O5+0.20*P5+0.20*Q5+0.10*R5+0.05*S5</x:f>
        <x:v>0.5851891009118553</x:v>
      </x:c>
      <x:c r="U5" s="4" t="str">
        <x:f>IF(A5=1,"Best by weighted score",IF(J5&gt;0,"Has rejected requests",IF(L5&gt;0.5,"High idle share","Candidate")))</x:f>
        <x:v>High idle share</x:v>
      </x:c>
    </x:row>
    <x:row r="6">
      <x:c r="A6" s="4" t="n">
        <x:f>RANK.EQ(T6,$T$2:$T$8,0)</x:f>
        <x:v>2</x:v>
      </x:c>
      <x:c r="B6" s="4" t="str">
        <x:v>S4</x:v>
      </x:c>
      <x:c r="C6" s="4" t="n">
        <x:v>400</x:v>
      </x:c>
      <x:c r="D6" s="4" t="n">
        <x:v>1200</x:v>
      </x:c>
      <x:c r="E6" s="4" t="n">
        <x:v>0.5</x:v>
      </x:c>
      <x:c r="F6" s="4" t="n">
        <x:v>0.5</x:v>
      </x:c>
      <x:c r="G6" s="5" t="n">
        <x:v>8</x:v>
      </x:c>
      <x:c r="H6" s="5" t="n">
        <x:v>18.17</x:v>
      </x:c>
      <x:c r="I6" s="5" t="n">
        <x:v>22.29</x:v>
      </x:c>
      <x:c r="J6" s="4" t="n">
        <x:v>0</x:v>
      </x:c>
      <x:c r="K6" s="14" t="n">
        <x:v>0</x:v>
      </x:c>
      <x:c r="L6" s="5" t="n">
        <x:v>0.57</x:v>
      </x:c>
      <x:c r="M6" s="5" t="n">
        <x:v>2.33</x:v>
      </x:c>
      <x:c r="N6" s="5" t="n">
        <x:f>IF(MAX($G$2:$G$8)=MIN($G$2:$G$8),1,(MAX($G$2:$G$8)-G6)/(MAX($G$2:$G$8)-MIN($G$2:$G$8)))</x:f>
        <x:v>0.7048192771084336</x:v>
      </x:c>
      <x:c r="O6" s="5" t="n">
        <x:f>IF(MAX($H$2:$H$8)=MIN($H$2:$H$8),1,(MAX($H$2:$H$8)-H6)/(MAX($H$2:$H$8)-MIN($H$2:$H$8)))</x:f>
        <x:v>0.15151515151515116</x:v>
      </x:c>
      <x:c r="P6" s="5" t="n">
        <x:f>IF(MAX($I$2:$I$8)=MIN($I$2:$I$8),1,(MAX($I$2:$I$8)-I6)/(MAX($I$2:$I$8)-MIN($I$2:$I$8)))</x:f>
        <x:v>1</x:v>
      </x:c>
      <x:c r="Q6" s="5" t="n">
        <x:f>IF(MAX($J$2:$J$8)=MIN($J$2:$J$8),1,(MAX($J$2:$J$8)-J6)/(MAX($J$2:$J$8)-MIN($J$2:$J$8)))</x:f>
        <x:v>1</x:v>
      </x:c>
      <x:c r="R6" s="5" t="n">
        <x:f>IF(MAX($L$2:$L$8)=MIN($L$2:$L$8),1,(MAX($L$2:$L$8)-L6)/(MAX($L$2:$L$8)-MIN($L$2:$L$8)))</x:f>
        <x:v>0</x:v>
      </x:c>
      <x:c r="S6" s="5" t="n">
        <x:f>IF(MAX($M$2:$M$8)=MIN($M$2:$M$8),1,(M6-MIN($M$2:$M$8))/(MAX($M$2:$M$8)-MIN($M$2:$M$8)))</x:f>
        <x:v>0.8571428571428581</x:v>
      </x:c>
      <x:c r="T6" s="5" t="n">
        <x:f>0.25*N6+0.20*O6+0.20*P6+0.20*Q6+0.10*R6+0.05*S6</x:f>
        <x:v>0.6493649924372815</x:v>
      </x:c>
      <x:c r="U6" s="4" t="str">
        <x:f>IF(A6=1,"Best by weighted score",IF(J6&gt;0,"Has rejected requests",IF(L6&gt;0.5,"High idle share","Candidate")))</x:f>
        <x:v>High idle share</x:v>
      </x:c>
    </x:row>
    <x:row r="7">
      <x:c r="A7" s="4" t="n">
        <x:f>RANK.EQ(T7,$T$2:$T$8,0)</x:f>
        <x:v>1</x:v>
      </x:c>
      <x:c r="B7" s="4" t="str">
        <x:v>S5</x:v>
      </x:c>
      <x:c r="C7" s="4" t="n">
        <x:v>300</x:v>
      </x:c>
      <x:c r="D7" s="4" t="n">
        <x:v>900</x:v>
      </x:c>
      <x:c r="E7" s="4" t="n">
        <x:v>0.5</x:v>
      </x:c>
      <x:c r="F7" s="4" t="n">
        <x:v>0.5</x:v>
      </x:c>
      <x:c r="G7" s="5" t="n">
        <x:v>7.51</x:v>
      </x:c>
      <x:c r="H7" s="5" t="n">
        <x:v>14.53</x:v>
      </x:c>
      <x:c r="I7" s="5" t="n">
        <x:v>22.34</x:v>
      </x:c>
      <x:c r="J7" s="4" t="n">
        <x:v>1</x:v>
      </x:c>
      <x:c r="K7" s="14" t="n">
        <x:v>0</x:v>
      </x:c>
      <x:c r="L7" s="5" t="n">
        <x:v>0.41</x:v>
      </x:c>
      <x:c r="M7" s="5" t="n">
        <x:v>2.36</x:v>
      </x:c>
      <x:c r="N7" s="5" t="n">
        <x:f>IF(MAX($G$2:$G$8)=MIN($G$2:$G$8),1,(MAX($G$2:$G$8)-G7)/(MAX($G$2:$G$8)-MIN($G$2:$G$8)))</x:f>
        <x:v>1</x:v>
      </x:c>
      <x:c r="O7" s="5" t="n">
        <x:f>IF(MAX($H$2:$H$8)=MIN($H$2:$H$8),1,(MAX($H$2:$H$8)-H7)/(MAX($H$2:$H$8)-MIN($H$2:$H$8)))</x:f>
        <x:v>1</x:v>
      </x:c>
      <x:c r="P7" s="5" t="n">
        <x:f>IF(MAX($I$2:$I$8)=MIN($I$2:$I$8),1,(MAX($I$2:$I$8)-I7)/(MAX($I$2:$I$8)-MIN($I$2:$I$8)))</x:f>
        <x:v>0.951456310679611</x:v>
      </x:c>
      <x:c r="Q7" s="5" t="n">
        <x:f>IF(MAX($J$2:$J$8)=MIN($J$2:$J$8),1,(MAX($J$2:$J$8)-J7)/(MAX($J$2:$J$8)-MIN($J$2:$J$8)))</x:f>
        <x:v>0</x:v>
      </x:c>
      <x:c r="R7" s="5" t="n">
        <x:f>IF(MAX($L$2:$L$8)=MIN($L$2:$L$8),1,(MAX($L$2:$L$8)-L7)/(MAX($L$2:$L$8)-MIN($L$2:$L$8)))</x:f>
        <x:v>0.3404255319148936</x:v>
      </x:c>
      <x:c r="S7" s="5" t="n">
        <x:f>IF(MAX($M$2:$M$8)=MIN($M$2:$M$8),1,(M7-MIN($M$2:$M$8))/(MAX($M$2:$M$8)-MIN($M$2:$M$8)))</x:f>
        <x:v>1</x:v>
      </x:c>
      <x:c r="T7" s="5" t="n">
        <x:f>0.25*N7+0.20*O7+0.20*P7+0.20*Q7+0.10*R7+0.05*S7</x:f>
        <x:v>0.7243338153274117</x:v>
      </x:c>
      <x:c r="U7" s="4" t="str">
        <x:f>IF(A7=1,"Best by weighted score",IF(J7&gt;0,"Has rejected requests",IF(L7&gt;0.5,"High idle share","Candidate")))</x:f>
        <x:v>Best by weighted score</x:v>
      </x:c>
    </x:row>
    <x:row r="8">
      <x:c r="A8" s="4" t="n">
        <x:f>RANK.EQ(T8,$T$2:$T$8,0)</x:f>
        <x:v>4</x:v>
      </x:c>
      <x:c r="B8" s="4" t="str">
        <x:v>S6</x:v>
      </x:c>
      <x:c r="C8" s="4" t="n">
        <x:v>300</x:v>
      </x:c>
      <x:c r="D8" s="4" t="n">
        <x:v>1200</x:v>
      </x:c>
      <x:c r="E8" s="4" t="n">
        <x:v>0.8</x:v>
      </x:c>
      <x:c r="F8" s="4" t="n">
        <x:v>0.8</x:v>
      </x:c>
      <x:c r="G8" s="5" t="n">
        <x:v>8.68</x:v>
      </x:c>
      <x:c r="H8" s="5" t="n">
        <x:v>18.67</x:v>
      </x:c>
      <x:c r="I8" s="5" t="n">
        <x:v>22.9</x:v>
      </x:c>
      <x:c r="J8" s="4" t="n">
        <x:v>0</x:v>
      </x:c>
      <x:c r="K8" s="14" t="n">
        <x:v>0</x:v>
      </x:c>
      <x:c r="L8" s="5" t="n">
        <x:v>0.43</x:v>
      </x:c>
      <x:c r="M8" s="5" t="n">
        <x:v>2.23</x:v>
      </x:c>
      <x:c r="N8" s="5" t="n">
        <x:f>IF(MAX($G$2:$G$8)=MIN($G$2:$G$8),1,(MAX($G$2:$G$8)-G8)/(MAX($G$2:$G$8)-MIN($G$2:$G$8)))</x:f>
        <x:v>0.2951807228915664</x:v>
      </x:c>
      <x:c r="O8" s="5" t="n">
        <x:f>IF(MAX($H$2:$H$8)=MIN($H$2:$H$8),1,(MAX($H$2:$H$8)-H8)/(MAX($H$2:$H$8)-MIN($H$2:$H$8)))</x:f>
        <x:v>0.03496503496503463</x:v>
      </x:c>
      <x:c r="P8" s="5" t="n">
        <x:f>IF(MAX($I$2:$I$8)=MIN($I$2:$I$8),1,(MAX($I$2:$I$8)-I8)/(MAX($I$2:$I$8)-MIN($I$2:$I$8)))</x:f>
        <x:v>0.40776699029126334</x:v>
      </x:c>
      <x:c r="Q8" s="5" t="n">
        <x:f>IF(MAX($J$2:$J$8)=MIN($J$2:$J$8),1,(MAX($J$2:$J$8)-J8)/(MAX($J$2:$J$8)-MIN($J$2:$J$8)))</x:f>
        <x:v>1</x:v>
      </x:c>
      <x:c r="R8" s="5" t="n">
        <x:f>IF(MAX($L$2:$L$8)=MIN($L$2:$L$8),1,(MAX($L$2:$L$8)-L8)/(MAX($L$2:$L$8)-MIN($L$2:$L$8)))</x:f>
        <x:v>0.29787234042553185</x:v>
      </x:c>
      <x:c r="S8" s="5" t="n">
        <x:f>IF(MAX($M$2:$M$8)=MIN($M$2:$M$8),1,(M8-MIN($M$2:$M$8))/(MAX($M$2:$M$8)-MIN($M$2:$M$8)))</x:f>
        <x:v>0.3809523809523814</x:v>
      </x:c>
      <x:c r="T8" s="5" t="n">
        <x:f>0.25*N8+0.20*O8+0.20*P8+0.20*Q8+0.10*R8+0.05*S8</x:f>
        <x:v>0.4111764388643235</x:v>
      </x:c>
      <x:c r="U8" s="4" t="str">
        <x:f>IF(A8=1,"Best by weighted score",IF(J8&gt;0,"Has rejected requests",IF(L8&gt;0.5,"High idle share","Candidate")))</x:f>
        <x:v>Candidate</x:v>
      </x:c>
    </x:row>
    <x:row r="10">
      <x:c r="A10" s="13" t="str">
        <x:v>Notes</x:v>
      </x:c>
    </x:row>
    <x:row r="11">
      <x:c r="A11" s="15" t="str">
        <x:v>Score direction: higher composite score is better. Waiting time, total travel time, rejections, and idle share are minimized; d_p/d_t is maximized.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</x:row>
    <x:row r="12">
      <x:c r="A12" s="15" t="str">
        <x:v>S5 uses a stricter maxWaitTime of 900 s. It improves waiting metrics but has one rejected request, so reliability should be discussed explicitly.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</x:row>
    <x:row r="13">
      <x:c r="A13" s="15" t="str">
        <x:v>d_p/d_t is used as a proxy for environmental efficiency, not a direct emission metric.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</x:row>
  </x:sheetData>
  <x:mergeCells>
    <x:mergeCell ref="A10:U10"/>
    <x:mergeCell ref="A11:U11"/>
    <x:mergeCell ref="A12:U12"/>
    <x:mergeCell ref="A13:U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28.25" hidden="0" customWidth="1"/>
    <x:col min="3" max="3" width="36" hidden="0" customWidth="1"/>
    <x:col min="4" max="4" width="6" hidden="0" customWidth="1"/>
  </x:cols>
  <x:sheetData>
    <x:row r="1">
      <x:c r="A1" s="6" t="str">
        <x:v>Weighted Scoring Criteria</x:v>
      </x:c>
    </x:row>
    <x:row r="3">
      <x:c r="A3" s="10" t="str">
        <x:v>Criterion</x:v>
      </x:c>
      <x:c r="B3" s="10" t="str">
        <x:v>Metric</x:v>
      </x:c>
      <x:c r="C3" s="10" t="str">
        <x:v>Direction</x:v>
      </x:c>
      <x:c r="D3" s="10" t="str">
        <x:v>Weight</x:v>
      </x:c>
    </x:row>
    <x:row r="4">
      <x:c r="A4" s="4" t="str">
        <x:v>Passenger experience</x:v>
      </x:c>
      <x:c r="B4" s="4" t="str">
        <x:v>Average waiting time</x:v>
      </x:c>
      <x:c r="C4" s="4" t="str">
        <x:v>Lower is better</x:v>
      </x:c>
      <x:c r="D4" s="11" t="n">
        <x:v>0.25</x:v>
      </x:c>
    </x:row>
    <x:row r="5">
      <x:c r="A5" s="4" t="str">
        <x:v>Passenger experience</x:v>
      </x:c>
      <x:c r="B5" s="4" t="str">
        <x:v>P95 waiting time</x:v>
      </x:c>
      <x:c r="C5" s="4" t="str">
        <x:v>Lower is better</x:v>
      </x:c>
      <x:c r="D5" s="11" t="n">
        <x:v>0.2</x:v>
      </x:c>
    </x:row>
    <x:row r="6">
      <x:c r="A6" s="4" t="str">
        <x:v>Passenger experience</x:v>
      </x:c>
      <x:c r="B6" s="4" t="str">
        <x:v>Total travel time</x:v>
      </x:c>
      <x:c r="C6" s="4" t="str">
        <x:v>Lower is better</x:v>
      </x:c>
      <x:c r="D6" s="11" t="n">
        <x:v>0.2</x:v>
      </x:c>
    </x:row>
    <x:row r="7">
      <x:c r="A7" s="4" t="str">
        <x:v>Service reliability</x:v>
      </x:c>
      <x:c r="B7" s="4" t="str">
        <x:v>Rejections</x:v>
      </x:c>
      <x:c r="C7" s="4" t="str">
        <x:v>Lower is better</x:v>
      </x:c>
      <x:c r="D7" s="11" t="n">
        <x:v>0.2</x:v>
      </x:c>
    </x:row>
    <x:row r="8">
      <x:c r="A8" s="4" t="str">
        <x:v>Operational efficiency</x:v>
      </x:c>
      <x:c r="B8" s="4" t="str">
        <x:v>minShareIdleVehicles</x:v>
      </x:c>
      <x:c r="C8" s="4" t="str">
        <x:v>Lower is better after service constraints are met</x:v>
      </x:c>
      <x:c r="D8" s="11" t="n">
        <x:v>0.1</x:v>
      </x:c>
    </x:row>
    <x:row r="9">
      <x:c r="A9" s="4" t="str">
        <x:v>Environmental efficiency</x:v>
      </x:c>
      <x:c r="B9" s="4" t="str">
        <x:v>d_p/d_t = passenger-km / vehicle-km</x:v>
      </x:c>
      <x:c r="C9" s="4" t="str">
        <x:v>Higher is better</x:v>
      </x:c>
      <x:c r="D9" s="11" t="n">
        <x:v>0.05</x:v>
      </x:c>
    </x:row>
    <x:row r="11">
      <x:c r="A11" s="13" t="str">
        <x:v>Normalization</x:v>
      </x:c>
    </x:row>
    <x:row r="12">
      <x:c r="A12" t="str">
        <x:v>Lower-is-better score</x:v>
      </x:c>
      <x:c r="B12" t="str">
        <x:v>(max - value) / (max - min)</x:v>
      </x:c>
      <x:c r="C12" t="str"/>
      <x:c r="D12" t="str"/>
    </x:row>
    <x:row r="13">
      <x:c r="A13" t="str">
        <x:v>Higher-is-better score</x:v>
      </x:c>
      <x:c r="B13" t="str">
        <x:v>(value - min) / (max - min)</x:v>
      </x:c>
      <x:c r="C13" t="str"/>
      <x:c r="D13" t="str"/>
    </x:row>
    <x:row r="14">
      <x:c r="A14" t="str">
        <x:v>Composite score</x:v>
      </x:c>
      <x:c r="B14" t="str">
        <x:v>weighted sum of normalized scores</x:v>
      </x:c>
      <x:c r="C14" t="str"/>
      <x:c r="D14" t="str"/>
    </x:row>
  </x:sheetData>
  <x:mergeCells>
    <x:mergeCell ref="A1:F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3" hidden="0" customWidth="1"/>
    <x:col min="3" max="3" width="7" hidden="0" customWidth="1"/>
    <x:col min="4" max="4" width="12.75" hidden="0" customWidth="1"/>
    <x:col min="5" max="5" width="9.5" hidden="0" customWidth="1"/>
    <x:col min="6" max="6" width="8.630000114440918" hidden="0" customWidth="1"/>
    <x:col min="7" max="7" width="5.25" hidden="0" customWidth="1"/>
    <x:col min="8" max="8" width="10.630000114440918" hidden="0" customWidth="1"/>
    <x:col min="9" max="9" width="10.880000114440918" hidden="0" customWidth="1"/>
    <x:col min="10" max="10" width="16.25" hidden="0" customWidth="1"/>
    <x:col min="11" max="11" width="8" hidden="0" customWidth="1"/>
    <x:col min="12" max="12" width="10.75" hidden="0" customWidth="1"/>
    <x:col min="13" max="13" width="16.8799991607666" hidden="0" customWidth="1"/>
    <x:col min="14" max="14" width="5.130000114440918" hidden="0" customWidth="1"/>
    <x:col min="15" max="15" width="13.880000114440918" hidden="0" customWidth="1"/>
    <x:col min="16" max="16" width="18.75" hidden="0" customWidth="1"/>
    <x:col min="17" max="17" width="9.380000114440918" hidden="0" customWidth="1"/>
  </x:cols>
  <x:sheetData>
    <x:row r="1">
      <x:c r="A1" s="3" t="str">
        <x:v>Set</x:v>
      </x:c>
      <x:c r="B1" s="3" t="str">
        <x:v>vehiclesFile</x:v>
      </x:c>
      <x:c r="C1" s="3" t="str">
        <x:v>fleetSize</x:v>
      </x:c>
      <x:c r="D1" s="3" t="str">
        <x:v>maxWaitTime_s</x:v>
      </x:c>
      <x:c r="E1" s="3" t="str">
        <x:v>targetAlpha</x:v>
      </x:c>
      <x:c r="F1" s="3" t="str">
        <x:v>targetBeta</x:v>
      </x:c>
      <x:c r="G1" s="3" t="str">
        <x:v>rides</x:v>
      </x:c>
      <x:c r="H1" s="3" t="str">
        <x:v>avgWait_min</x:v>
      </x:c>
      <x:c r="I1" s="3" t="str">
        <x:v>p95Wait_min</x:v>
      </x:c>
      <x:c r="J1" s="3" t="str">
        <x:v>totalTravelTime_min</x:v>
      </x:c>
      <x:c r="K1" s="3" t="str">
        <x:v>rejections</x:v>
      </x:c>
      <x:c r="L1" s="3" t="str">
        <x:v>rejectionRate</x:v>
      </x:c>
      <x:c r="M1" s="3" t="str">
        <x:v>minShareIdleVehicles</x:v>
      </x:c>
      <x:c r="N1" s="3" t="str">
        <x:v>dp_dt</x:v>
      </x:c>
      <x:c r="O1" s="3" t="str">
        <x:v>totalDistance_km</x:v>
      </x:c>
      <x:c r="P1" s="3" t="str">
        <x:v>totalEmptyDistance_km</x:v>
      </x:c>
      <x:c r="Q1" s="3" t="str">
        <x:v>emptyRatio</x:v>
      </x:c>
    </x:row>
    <x:row r="2">
      <x:c r="A2" s="4" t="str">
        <x:v>S0</x:v>
      </x:c>
      <x:c r="B2" s="4" t="str">
        <x:v>drt-vehicles/fleet-size-300.xml</x:v>
      </x:c>
      <x:c r="C2" s="4" t="n">
        <x:v>300</x:v>
      </x:c>
      <x:c r="D2" s="4" t="n">
        <x:v>1200</x:v>
      </x:c>
      <x:c r="E2" s="4" t="n">
        <x:v>0.5</x:v>
      </x:c>
      <x:c r="F2" s="4" t="n">
        <x:v>0.5</x:v>
      </x:c>
      <x:c r="G2" s="4" t="n">
        <x:v>10000</x:v>
      </x:c>
      <x:c r="H2" s="5" t="n">
        <x:v>8.68</x:v>
      </x:c>
      <x:c r="I2" s="5" t="n">
        <x:v>18.67</x:v>
      </x:c>
      <x:c r="J2" s="5" t="n">
        <x:v>22.9</x:v>
      </x:c>
      <x:c r="K2" s="4" t="n">
        <x:v>0</x:v>
      </x:c>
      <x:c r="L2" s="5" t="n">
        <x:v>0</x:v>
      </x:c>
      <x:c r="M2" s="5" t="n">
        <x:v>0.43</x:v>
      </x:c>
      <x:c r="N2" s="5" t="n">
        <x:v>2.23</x:v>
      </x:c>
      <x:c r="O2" s="5" t="n">
        <x:v>38133.75</x:v>
      </x:c>
      <x:c r="P2" s="5" t="n">
        <x:v>2041.37</x:v>
      </x:c>
      <x:c r="Q2" s="5" t="n">
        <x:v>0.05</x:v>
      </x:c>
    </x:row>
    <x:row r="3">
      <x:c r="A3" s="4" t="str">
        <x:v>S1</x:v>
      </x:c>
      <x:c r="B3" s="4" t="str">
        <x:v>drt-vehicles/fleet-size-200.xml</x:v>
      </x:c>
      <x:c r="C3" s="4" t="n">
        <x:v>200</x:v>
      </x:c>
      <x:c r="D3" s="4" t="n">
        <x:v>1200</x:v>
      </x:c>
      <x:c r="E3" s="4" t="n">
        <x:v>0.5</x:v>
      </x:c>
      <x:c r="F3" s="4" t="n">
        <x:v>0.5</x:v>
      </x:c>
      <x:c r="G3" s="4" t="n">
        <x:v>10000</x:v>
      </x:c>
      <x:c r="H3" s="5" t="n">
        <x:v>9.17</x:v>
      </x:c>
      <x:c r="I3" s="5" t="n">
        <x:v>18.82</x:v>
      </x:c>
      <x:c r="J3" s="5" t="n">
        <x:v>23.32</x:v>
      </x:c>
      <x:c r="K3" s="4" t="n">
        <x:v>0</x:v>
      </x:c>
      <x:c r="L3" s="5" t="n">
        <x:v>0</x:v>
      </x:c>
      <x:c r="M3" s="5" t="n">
        <x:v>0.1</x:v>
      </x:c>
      <x:c r="N3" s="5" t="n">
        <x:v>2.15</x:v>
      </x:c>
      <x:c r="O3" s="5" t="n">
        <x:v>39905.13</x:v>
      </x:c>
      <x:c r="P3" s="5" t="n">
        <x:v>2645.4</x:v>
      </x:c>
      <x:c r="Q3" s="5" t="n">
        <x:v>0.07</x:v>
      </x:c>
    </x:row>
    <x:row r="4">
      <x:c r="A4" s="4" t="str">
        <x:v>S2</x:v>
      </x:c>
      <x:c r="B4" s="4" t="str">
        <x:v>drt-vehicles/fleet-size-250.xml</x:v>
      </x:c>
      <x:c r="C4" s="4" t="n">
        <x:v>250</x:v>
      </x:c>
      <x:c r="D4" s="4" t="n">
        <x:v>1200</x:v>
      </x:c>
      <x:c r="E4" s="4" t="n">
        <x:v>0.5</x:v>
      </x:c>
      <x:c r="F4" s="4" t="n">
        <x:v>0.5</x:v>
      </x:c>
      <x:c r="G4" s="4" t="n">
        <x:v>10000</x:v>
      </x:c>
      <x:c r="H4" s="5" t="n">
        <x:v>8.95</x:v>
      </x:c>
      <x:c r="I4" s="5" t="n">
        <x:v>18.78</x:v>
      </x:c>
      <x:c r="J4" s="5" t="n">
        <x:v>23.13</x:v>
      </x:c>
      <x:c r="K4" s="4" t="n">
        <x:v>0</x:v>
      </x:c>
      <x:c r="L4" s="5" t="n">
        <x:v>0</x:v>
      </x:c>
      <x:c r="M4" s="5" t="n">
        <x:v>0.29</x:v>
      </x:c>
      <x:c r="N4" s="5" t="n">
        <x:v>2.19</x:v>
      </x:c>
      <x:c r="O4" s="5" t="n">
        <x:v>38756.51</x:v>
      </x:c>
      <x:c r="P4" s="5" t="n">
        <x:v>2395.07</x:v>
      </x:c>
      <x:c r="Q4" s="5" t="n">
        <x:v>0.06</x:v>
      </x:c>
    </x:row>
    <x:row r="5">
      <x:c r="A5" s="4" t="str">
        <x:v>S3</x:v>
      </x:c>
      <x:c r="B5" s="4" t="str">
        <x:v>drt-vehicles/fleet-size-350.xml</x:v>
      </x:c>
      <x:c r="C5" s="4" t="n">
        <x:v>350</x:v>
      </x:c>
      <x:c r="D5" s="4" t="n">
        <x:v>1200</x:v>
      </x:c>
      <x:c r="E5" s="4" t="n">
        <x:v>0.5</x:v>
      </x:c>
      <x:c r="F5" s="4" t="n">
        <x:v>0.5</x:v>
      </x:c>
      <x:c r="G5" s="4" t="n">
        <x:v>10000</x:v>
      </x:c>
      <x:c r="H5" s="5" t="n">
        <x:v>8.15</x:v>
      </x:c>
      <x:c r="I5" s="5" t="n">
        <x:v>18.48</x:v>
      </x:c>
      <x:c r="J5" s="5" t="n">
        <x:v>22.46</x:v>
      </x:c>
      <x:c r="K5" s="4" t="n">
        <x:v>0</x:v>
      </x:c>
      <x:c r="L5" s="5" t="n">
        <x:v>0</x:v>
      </x:c>
      <x:c r="M5" s="5" t="n">
        <x:v>0.52</x:v>
      </x:c>
      <x:c r="N5" s="5" t="n">
        <x:v>2.31</x:v>
      </x:c>
      <x:c r="O5" s="5" t="n">
        <x:v>36611.96</x:v>
      </x:c>
      <x:c r="P5" s="5" t="n">
        <x:v>1700.46</x:v>
      </x:c>
      <x:c r="Q5" s="5" t="n">
        <x:v>0.05</x:v>
      </x:c>
    </x:row>
    <x:row r="6">
      <x:c r="A6" s="4" t="str">
        <x:v>S4</x:v>
      </x:c>
      <x:c r="B6" s="4" t="str">
        <x:v>drt-vehicles/fleet-size-400.xml</x:v>
      </x:c>
      <x:c r="C6" s="4" t="n">
        <x:v>400</x:v>
      </x:c>
      <x:c r="D6" s="4" t="n">
        <x:v>1200</x:v>
      </x:c>
      <x:c r="E6" s="4" t="n">
        <x:v>0.5</x:v>
      </x:c>
      <x:c r="F6" s="4" t="n">
        <x:v>0.5</x:v>
      </x:c>
      <x:c r="G6" s="4" t="n">
        <x:v>10000</x:v>
      </x:c>
      <x:c r="H6" s="5" t="n">
        <x:v>8</x:v>
      </x:c>
      <x:c r="I6" s="5" t="n">
        <x:v>18.17</x:v>
      </x:c>
      <x:c r="J6" s="5" t="n">
        <x:v>22.29</x:v>
      </x:c>
      <x:c r="K6" s="4" t="n">
        <x:v>0</x:v>
      </x:c>
      <x:c r="L6" s="5" t="n">
        <x:v>0</x:v>
      </x:c>
      <x:c r="M6" s="5" t="n">
        <x:v>0.57</x:v>
      </x:c>
      <x:c r="N6" s="5" t="n">
        <x:v>2.33</x:v>
      </x:c>
      <x:c r="O6" s="5" t="n">
        <x:v>36283.98</x:v>
      </x:c>
      <x:c r="P6" s="5" t="n">
        <x:v>1567.58</x:v>
      </x:c>
      <x:c r="Q6" s="5" t="n">
        <x:v>0.04</x:v>
      </x:c>
    </x:row>
    <x:row r="7">
      <x:c r="A7" s="4" t="str">
        <x:v>S5</x:v>
      </x:c>
      <x:c r="B7" s="4" t="str">
        <x:v>drt-vehicles/fleet-size-300.xml</x:v>
      </x:c>
      <x:c r="C7" s="4" t="n">
        <x:v>300</x:v>
      </x:c>
      <x:c r="D7" s="4" t="n">
        <x:v>900</x:v>
      </x:c>
      <x:c r="E7" s="4" t="n">
        <x:v>0.5</x:v>
      </x:c>
      <x:c r="F7" s="4" t="n">
        <x:v>0.5</x:v>
      </x:c>
      <x:c r="G7" s="4" t="n">
        <x:v>9998</x:v>
      </x:c>
      <x:c r="H7" s="5" t="n">
        <x:v>7.51</x:v>
      </x:c>
      <x:c r="I7" s="5" t="n">
        <x:v>14.53</x:v>
      </x:c>
      <x:c r="J7" s="5" t="n">
        <x:v>22.34</x:v>
      </x:c>
      <x:c r="K7" s="4" t="n">
        <x:v>1</x:v>
      </x:c>
      <x:c r="L7" s="5" t="n">
        <x:v>0</x:v>
      </x:c>
      <x:c r="M7" s="5" t="n">
        <x:v>0.41</x:v>
      </x:c>
      <x:c r="N7" s="5" t="n">
        <x:v>2.36</x:v>
      </x:c>
      <x:c r="O7" s="5" t="n">
        <x:v>36946.34</x:v>
      </x:c>
      <x:c r="P7" s="5" t="n">
        <x:v>1895.52</x:v>
      </x:c>
      <x:c r="Q7" s="5" t="n">
        <x:v>0.05</x:v>
      </x:c>
    </x:row>
    <x:row r="8">
      <x:c r="A8" s="4" t="str">
        <x:v>S6</x:v>
      </x:c>
      <x:c r="B8" s="4" t="str">
        <x:v>drt-vehicles/fleet-size-300.xml</x:v>
      </x:c>
      <x:c r="C8" s="4" t="n">
        <x:v>300</x:v>
      </x:c>
      <x:c r="D8" s="4" t="n">
        <x:v>1200</x:v>
      </x:c>
      <x:c r="E8" s="4" t="n">
        <x:v>0.8</x:v>
      </x:c>
      <x:c r="F8" s="4" t="n">
        <x:v>0.8</x:v>
      </x:c>
      <x:c r="G8" s="4" t="n">
        <x:v>10000</x:v>
      </x:c>
      <x:c r="H8" s="5" t="n">
        <x:v>8.68</x:v>
      </x:c>
      <x:c r="I8" s="5" t="n">
        <x:v>18.67</x:v>
      </x:c>
      <x:c r="J8" s="5" t="n">
        <x:v>22.9</x:v>
      </x:c>
      <x:c r="K8" s="4" t="n">
        <x:v>0</x:v>
      </x:c>
      <x:c r="L8" s="5" t="n">
        <x:v>0</x:v>
      </x:c>
      <x:c r="M8" s="5" t="n">
        <x:v>0.43</x:v>
      </x:c>
      <x:c r="N8" s="5" t="n">
        <x:v>2.23</x:v>
      </x:c>
      <x:c r="O8" s="5" t="n">
        <x:v>38133.75</x:v>
      </x:c>
      <x:c r="P8" s="5" t="n">
        <x:v>2041.37</x:v>
      </x:c>
      <x:c r="Q8" s="5" t="n">
        <x:v>0.05</x:v>
      </x:c>
    </x:row>
  </x:sheetData>
  <x:pageMargins left="0.7" right="0.7" top="0.75" bottom="0.75" header="0.3" footer="0.3"/>
</x:worksheet>
</file>